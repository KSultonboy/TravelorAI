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f063499d0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mkorlar" sheetId="1" r:id="R1f61c1dc4e38412a"/>
    <x:sheet xmlns:r="http://schemas.openxmlformats.org/officeDocument/2006/relationships" name="Xulosa" sheetId="2" r:id="Re78c31efdbab49cb"/>
  </x:sheets>
  <x:definedNames>
    <x:definedName name="HolatRoyxat">Xulosa!$A$2:$A$8</x:definedName>
  </x:definedNames>
</x:workbook>
</file>

<file path=xl/sharedStrings.xml><?xml version="1.0" encoding="utf-8"?>
<x:sst xmlns:x="http://schemas.openxmlformats.org/spreadsheetml/2006/main">
  <x:si>
    <x:t xml:space="preserve">№</x:t>
  </x:si>
  <x:si>
    <x:t xml:space="preserve">Agentlik nomi</x:t>
  </x:si>
  <x:si>
    <x:t xml:space="preserve">Shahar</x:t>
  </x:si>
  <x:si>
    <x:t xml:space="preserve">Mas'ul shaxs</x:t>
  </x:si>
  <x:si>
    <x:t xml:space="preserve">Telefon</x:t>
  </x:si>
  <x:si>
    <x:t xml:space="preserve">Email</x:t>
  </x:si>
  <x:si>
    <x:t xml:space="preserve">Telegram / Instagram</x:t>
  </x:si>
  <x:si>
    <x:t xml:space="preserve">Yo'nalish (xizmat turi)</x:t>
  </x:si>
  <x:si>
    <x:t xml:space="preserve">Holat</x:t>
  </x:si>
  <x:si>
    <x:t xml:space="preserve">Platforma login (email)</x:t>
  </x:si>
  <x:si>
    <x:t xml:space="preserve">Turlar soni</x:t>
  </x:si>
  <x:si>
    <x:t xml:space="preserve">Aloqa sanasi</x:t>
  </x:si>
  <x:si>
    <x:t xml:space="preserve">Keyingi qadam / izoh</x:t>
  </x:si>
  <x:si>
    <x:t xml:space="preserve">Khorezm Elite Tour</x:t>
  </x:si>
  <x:si>
    <x:t xml:space="preserve">Xorazm, Urganch, Urdu yoni</x:t>
  </x:si>
  <x:si>
    <x:t xml:space="preserve">Alimov Sherzod Zakirboevich</x:t>
  </x:si>
  <x:si>
    <x:t xml:space="preserve">+998 99 526 99 99 / +998 88 526 00 00</x:t>
  </x:si>
  <x:si>
    <x:t xml:space="preserve">elitetourkhorezm@gmail.com</x:t>
  </x:si>
  <x:si>
    <x:t xml:space="preserve">t.me/elitetouruzb · @elitetouruz</x:t>
  </x:si>
  <x:si>
    <x:t xml:space="preserve">Chiqish + kirish turizmi, aviabilet/viza/mehmonxona</x:t>
  </x:si>
  <x:si>
    <x:t xml:space="preserve">Faol</x:t>
  </x:si>
  <x:si>
    <x:t xml:space="preserve">testagency@travelorai.com</x:t>
  </x:si>
  <x:si>
    <x:t xml:space="preserve">2026-06-23</x:t>
  </x:si>
  <x:si>
    <x:t xml:space="preserve">2022 yildan faoliyatda; ishonchli sifatli xizmat. Soʻrovnoma toʻldirilgan.</x:t>
  </x:si>
  <x:si>
    <x:t xml:space="preserve">Mars Travel</x:t>
  </x:si>
  <x:si>
    <x:t xml:space="preserve">Urganch, Jaloladdin yoni</x:t>
  </x:si>
  <x:si>
    <x:t xml:space="preserve">Polvon Polvonov</x:t>
  </x:si>
  <x:si>
    <x:t xml:space="preserve">+998 91 271 99 99 / +998 91 571 73 72</x:t>
  </x:si>
  <x:si>
    <x:t xml:space="preserve">memorulbayt@gmail.com</x:t>
  </x:si>
  <x:si>
    <x:t xml:space="preserve">t.me/marstravel_group · @marstravel.uz</x:t>
  </x:si>
  <x:si>
    <x:t xml:space="preserve">Chiqish turizmi, aviabilet/viza/mehmonxona</x:t>
  </x:si>
  <x:si>
    <x:t xml:space="preserve">Yoʻnalishlar: Turkiya, Tailand, Azarbayjon, Vetnam, Dubay, Gruziya. 2023 yildan, 1000+ mijoz. Soʻrovnoma bor.</x:t>
  </x:si>
  <x:si>
    <x:t xml:space="preserve">Tabbassum savdo</x:t>
  </x:si>
  <x:si>
    <x:t xml:space="preserve">Karavan Hotel ichi mashal taraf</x:t>
  </x:si>
  <x:si>
    <x:t xml:space="preserve">Hajiyev Atabek Yo'ldashevich</x:t>
  </x:si>
  <x:si>
    <x:t xml:space="preserve">+998 91 277 77 20</x:t>
  </x:si>
  <x:si>
    <x:t xml:space="preserve">Chiqish turizmi</x:t>
  </x:si>
  <x:si>
    <x:t xml:space="preserve">Trip Tour</x:t>
  </x:si>
  <x:si>
    <x:t xml:space="preserve">IT park yoni</x:t>
  </x:si>
  <x:si>
    <x:t xml:space="preserve">Pangeya Tour</x:t>
  </x:si>
  <x:si>
    <x:t xml:space="preserve">Indenimni yoni</x:t>
  </x:si>
  <x:si>
    <x:t xml:space="preserve">Luxe Travel</x:t>
  </x:si>
  <x:si>
    <x:t xml:space="preserve">Hotel Uzbekistan Uzbekinvestni yonida</x:t>
  </x:si>
  <x:si>
    <x:t xml:space="preserve">Shahnoza</x:t>
  </x:si>
  <x:si>
    <x:t xml:space="preserve">+998 99 960 00 03</x:t>
  </x:si>
  <x:si>
    <x:t xml:space="preserve">Green Travel</x:t>
  </x:si>
  <x:si>
    <x:t xml:space="preserve">Pahlavon mahmud kochadan Delfin basseyna giradon kochada</x:t>
  </x:si>
  <x:si>
    <x:t xml:space="preserve">Dilmurod</x:t>
  </x:si>
  <x:si>
    <x:t xml:space="preserve">+998 91 422 48 38 </x:t>
  </x:si>
  <x:si>
    <x:t xml:space="preserve"> </x:t>
  </x:si>
  <x:si>
    <x:t xml:space="preserve">Soni</x:t>
  </x:si>
  <x:si>
    <x:t xml:space="preserve">Aloqa qilindi</x:t>
  </x:si>
  <x:si>
    <x:t xml:space="preserve">Muzokara</x:t>
  </x:si>
  <x:si>
    <x:t xml:space="preserve">Shartnoma imzolandi</x:t>
  </x:si>
  <x:si>
    <x:t xml:space="preserve">Ro'yxatdan o'tdi</x:t>
  </x:si>
  <x:si>
    <x:t xml:space="preserve">Rad etdi</x:t>
  </x:si>
  <x:si>
    <x:t xml:space="preserve">Kutilmoqda</x:t>
  </x:si>
  <x:si>
    <x:t xml:space="preserve">Jami hamkorlar</x:t>
  </x:si>
  <x:si>
    <x:t xml:space="preserve">Jami turlar (bazada)</x:t>
  </x:si>
  <x:si>
    <x:t xml:space="preserve">Eslatma: 'Holat' ustunidagi qiymatlar (A2:A8) — Hamkorlar varag'idagi ochiluvchi ro'yxat manbai.</x:t>
  </x:si>
</x:sst>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"/>
    <x:numFmt numFmtId="201" formatCode="yyyy-mm-dd"/>
  </x:numFmts>
  <x:fonts count="29">
    <x:font>
      <x:sz val="11"/>
      <x:color theme="1"/>
      <x:name val="Calibri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0F5132"/>
      <x:name val="Arial"/>
    </x:font>
    <x:font>
      <x:i/>
      <x:sz val="9"/>
      <x:color rgb="FF6B8576"/>
      <x:name val="Arial"/>
    </x:font>
    <x:font>
      <x:sz val="10"/>
      <x:name val="Arial"/>
    </x:font>
    <x:font>
      <x:b/>
      <x:sz val="10"/>
      <x:color rgb="FF1A2421"/>
      <x:name val="Arial"/>
    </x:font>
    <x:font>
      <x:sz val="10"/>
      <x:color rgb="FF1A2421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0F5132"/>
      </x:patternFill>
    </x:fill>
    <x:fill>
      <x:patternFill patternType="solid">
        <x:fgColor rgb="FFEAF3EC"/>
      </x:patternFill>
    </x:fill>
    <x:fill>
      <x:patternFill patternType="solid">
        <x:fgColor rgb="FFF5FAF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C9D6CE"/>
      </x:left>
      <x:right style="thin">
        <x:color rgb="FFC9D6CE"/>
      </x:right>
      <x:top style="thin">
        <x:color rgb="FFC9D6CE"/>
      </x:top>
      <x:bottom style="thin">
        <x:color rgb="FFC9D6CE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2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4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5" applyNumberFormat="0" applyAlignment="0" applyProtection="0">
      <x:alignment vertical="center"/>
    </x:xf>
    <x:xf numFmtId="0" fontId="19" fillId="7" borderId="6" applyNumberFormat="0" applyAlignment="0" applyProtection="0">
      <x:alignment vertical="center"/>
    </x:xf>
    <x:xf numFmtId="0" fontId="20" fillId="7" borderId="5" applyNumberFormat="0" applyAlignment="0" applyProtection="0">
      <x:alignment vertical="center"/>
    </x:xf>
    <x:xf numFmtId="0" fontId="21" fillId="8" borderId="7" applyNumberFormat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0" borderId="9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24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0" fontId="3" fillId="3" borderId="1" xfId="0" applyFont="1" applyFill="1" applyBorder="1"/>
    <x:xf numFmtId="0" fontId="4" fillId="0" borderId="1" xfId="0" applyFont="1" applyBorder="1" applyAlignment="1">
      <x:alignment horizontal="center"/>
    </x:xf>
    <x:xf numFmtId="0" fontId="5" fillId="0" borderId="0" xfId="0" applyFont="1"/>
    <x:xf numFmtId="0" fontId="1" fillId="2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/>
    </x:xf>
    <x:xf numFmtId="0" fontId="7" fillId="0" borderId="1" xfId="0" applyFont="1" applyBorder="1"/>
    <x:xf numFmtId="0" fontId="8" fillId="0" borderId="1" xfId="0" applyFont="1" applyBorder="1"/>
    <x:xf numFmtId="0" fontId="8" fillId="0" borderId="1" xfId="0" applyFont="1" applyBorder="1" applyAlignment="1">
      <x:alignment horizontal="center"/>
    </x:xf>
    <x:xf numFmtId="0" fontId="6" fillId="4" borderId="1" xfId="0" applyFont="1" applyFill="1" applyBorder="1" applyAlignment="1">
      <x:alignment horizontal="center"/>
    </x:xf>
    <x:xf numFmtId="0" fontId="7" fillId="4" borderId="1" xfId="0" applyFont="1" applyFill="1" applyBorder="1"/>
    <x:xf numFmtId="0" fontId="8" fillId="4" borderId="1" xfId="0" applyFont="1" applyFill="1" applyBorder="1"/>
    <x:xf numFmtId="0" fontId="8" fillId="4" borderId="1" xfId="0" applyFont="1" applyFill="1" applyBorder="1" applyAlignment="1">
      <x:alignment horizontal="center"/>
    </x:xf>
    <x:xf numFmtId="0" fontId="8" fillId="4" borderId="1" xfId="0" applyFont="1" applyFill="1" applyBorder="1"/>
    <x:xf numFmtId="0" fontId="8" fillId="0" borderId="1" xfId="0" applyFont="1" applyBorder="1"/>
    <x:xf numFmtId="200" fontId="8" fillId="0" borderId="1" xfId="0" applyNumberFormat="1" applyFont="1" applyFill="1" applyBorder="1" applyAlignment="1">
      <x:alignment horizontal="center"/>
    </x:xf>
    <x:xf numFmtId="201" fontId="8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horizontal="center" wrapText="1"/>
    </x:xf>
    <x:xf numFmtId="201" fontId="8" fillId="0" borderId="1" xfId="0" applyNumberFormat="1" applyFont="1" applyFill="1" applyBorder="1" applyAlignment="1">
      <x:alignment horizont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b83bf795d46c0" /><Relationship Type="http://schemas.openxmlformats.org/officeDocument/2006/relationships/theme" Target="/xl/theme/theme1.xml" Id="R8e744204cf0e4397" /><Relationship Type="http://schemas.openxmlformats.org/officeDocument/2006/relationships/sharedStrings" Target="/xl/sharedStrings.xml" Id="Rfe12d5e0170a47a5" /><Relationship Type="http://schemas.openxmlformats.org/officeDocument/2006/relationships/worksheet" Target="/xl/worksheets/sheet1.xml" Id="R1f61c1dc4e38412a" /><Relationship Type="http://schemas.openxmlformats.org/officeDocument/2006/relationships/worksheet" Target="/xl/worksheets/sheet2.xml" Id="Re78c31efdbab49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5"/>
  <x:cols>
    <x:col min="1" max="1" width="5" customWidth="1"/>
    <x:col min="2" max="2" width="26" customWidth="1"/>
    <x:col min="3" max="3" width="56.272727966308594" customWidth="1"/>
    <x:col min="4" max="4" width="26.18181800842285" customWidth="1"/>
    <x:col min="5" max="5" width="36.727272033691406" customWidth="1"/>
    <x:col min="6" max="6" width="26.363636016845703" customWidth="1"/>
    <x:col min="7" max="7" width="36.727272033691406" customWidth="1"/>
    <x:col min="8" max="8" width="45.181819915771484" customWidth="1"/>
    <x:col min="9" max="9" width="16" hidden="0" customWidth="1"/>
    <x:col min="10" max="10" width="25.090909957885742" customWidth="1"/>
    <x:col min="11" max="11" width="10.636363983154297" customWidth="1"/>
    <x:col min="12" max="12" width="12.454545021057129" customWidth="1"/>
    <x:col min="13" max="13" width="99.90908813476562" customWidth="1"/>
  </x:cols>
  <x:sheetData>
    <x:row r="1" ht="30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</x:row>
    <x:row r="2">
      <x:c r="A2" s="8" t="n">
        <x:f t="shared" ref="A2:A46" si="0">IF(B2&lt;&gt;"",ROW()-1,"")</x:f>
        <x:v>1</x:v>
      </x:c>
      <x:c r="B2" s="9" t="s">
        <x:v>13</x:v>
      </x:c>
      <x:c r="C2" s="10" t="s">
        <x:v>14</x:v>
      </x:c>
      <x:c r="D2" s="10" t="s">
        <x:v>15</x:v>
      </x:c>
      <x:c r="E2" s="10" t="s">
        <x:v>16</x:v>
      </x:c>
      <x:c r="F2" s="10" t="s">
        <x:v>17</x:v>
      </x:c>
      <x:c r="G2" s="10" t="s">
        <x:v>18</x:v>
      </x:c>
      <x:c r="H2" s="10" t="s">
        <x:v>19</x:v>
      </x:c>
      <x:c r="I2" s="10" t="s">
        <x:v>20</x:v>
      </x:c>
      <x:c r="J2" s="10" t="s">
        <x:v>21</x:v>
      </x:c>
      <x:c r="K2" s="11">
        <x:v>1</x:v>
      </x:c>
      <x:c r="L2" s="11" t="s">
        <x:v>22</x:v>
      </x:c>
      <x:c r="M2" s="10" t="s">
        <x:v>23</x:v>
      </x:c>
    </x:row>
    <x:row r="3">
      <x:c r="A3" s="8">
        <x:f t="shared" si="0"/>
        <x:v>2</x:v>
      </x:c>
      <x:c r="B3" s="9" t="s">
        <x:v>24</x:v>
      </x:c>
      <x:c r="C3" s="10" t="s">
        <x:v>25</x:v>
      </x:c>
      <x:c r="D3" s="10" t="s">
        <x:v>26</x:v>
      </x:c>
      <x:c r="E3" s="10" t="s">
        <x:v>27</x:v>
      </x:c>
      <x:c r="F3" s="10" t="s">
        <x:v>28</x:v>
      </x:c>
      <x:c r="G3" s="10" t="s">
        <x:v>29</x:v>
      </x:c>
      <x:c r="H3" s="10" t="s">
        <x:v>30</x:v>
      </x:c>
      <x:c r="I3" s="10"/>
      <x:c r="J3" s="10"/>
      <x:c r="K3" s="11"/>
      <x:c r="L3" s="11"/>
      <x:c r="M3" s="10" t="s">
        <x:v>31</x:v>
      </x:c>
    </x:row>
    <x:row r="4">
      <x:c r="A4" s="12">
        <x:f t="shared" si="0"/>
        <x:v>3</x:v>
      </x:c>
      <x:c r="B4" s="13" t="s">
        <x:v>32</x:v>
      </x:c>
      <x:c r="C4" s="14" t="s">
        <x:v>33</x:v>
      </x:c>
      <x:c r="D4" s="14" t="s">
        <x:v>34</x:v>
      </x:c>
      <x:c r="E4" s="16" t="s">
        <x:v>35</x:v>
      </x:c>
      <x:c r="F4" s="14"/>
      <x:c r="G4" s="14"/>
      <x:c r="H4" s="14" t="s">
        <x:v>36</x:v>
      </x:c>
      <x:c r="I4" s="14"/>
      <x:c r="J4" s="14"/>
      <x:c r="K4" s="15"/>
      <x:c r="L4" s="15"/>
      <x:c r="M4" s="14"/>
    </x:row>
    <x:row r="5">
      <x:c r="A5" s="8">
        <x:f t="shared" si="0"/>
        <x:v>4</x:v>
      </x:c>
      <x:c r="B5" s="20" t="str">
        <x:v>MUSTAFA TRAVEL</x:v>
      </x:c>
      <x:c r="C5" s="21" t="str">
        <x:v>Urganch tumani, Mustaqillik ko'chasi 22/6-uy</x:v>
      </x:c>
      <x:c r="D5" s="21" t="str">
        <x:v>Rajapov Ganisher Alisherovich</x:v>
      </x:c>
      <x:c r="E5" s="21" t="str">
        <x:v>+998 99 420 88 80</x:v>
      </x:c>
      <x:c r="F5" s="21" t="str">
        <x:v>ms-sher@mail.ru</x:v>
      </x:c>
      <x:c r="G5" s="21" t="str">
        <x:v>Mustafa travel</x:v>
      </x:c>
      <x:c r="H5" s="21" t="str">
        <x:v>Chiqish turizmi</x:v>
      </x:c>
      <x:c r="I5" s="21" t="str">
        <x:v>Ro'yxatdan o'tdi</x:v>
      </x:c>
      <x:c r="J5" s="21" t="str">
        <x:v>ms-sher@mail.ru</x:v>
      </x:c>
      <x:c r="K5" s="22" t="n">
        <x:v>0</x:v>
      </x:c>
      <x:c r="L5" s="23" t="n">
        <x:v>46206</x:v>
      </x:c>
      <x:c r="M5" s="21" t="str">
        <x:v>Yuridik nomi: MUSTAFA LYUKS TRAVEL MCHJ. Yo'nalishlar: Turkiya, Azarbayjan, Gruziya, BAA, Vetnam, Tailand. So'rovnoma to'ldirilgan; profil yaratish va login/parol berish kerak.</x:v>
      </x:c>
    </x:row>
    <x:row r="6">
      <x:c r="A6" s="12">
        <x:f t="shared" si="0"/>
        <x:v>5</x:v>
      </x:c>
      <x:c r="B6" s="13" t="s">
        <x:v>37</x:v>
      </x:c>
      <x:c r="C6" s="14" t="s">
        <x:v>38</x:v>
      </x:c>
      <x:c r="D6" s="14"/>
      <x:c r="E6" s="14"/>
      <x:c r="F6" s="14"/>
      <x:c r="G6" s="14"/>
      <x:c r="H6" s="14"/>
      <x:c r="I6" s="14"/>
      <x:c r="J6" s="14"/>
      <x:c r="K6" s="15"/>
      <x:c r="L6" s="15"/>
      <x:c r="M6" s="14"/>
    </x:row>
    <x:row r="7">
      <x:c r="A7" s="8">
        <x:f t="shared" si="0"/>
        <x:v>6</x:v>
      </x:c>
      <x:c r="B7" s="9" t="s">
        <x:v>39</x:v>
      </x:c>
      <x:c r="C7" s="10" t="s">
        <x:v>40</x:v>
      </x:c>
      <x:c r="D7" s="10"/>
      <x:c r="E7" s="10"/>
      <x:c r="F7" s="10"/>
      <x:c r="G7" s="10"/>
      <x:c r="H7" s="10"/>
      <x:c r="I7" s="10"/>
      <x:c r="J7" s="10"/>
      <x:c r="K7" s="11"/>
      <x:c r="L7" s="11"/>
      <x:c r="M7" s="10"/>
    </x:row>
    <x:row r="8">
      <x:c r="A8" s="12">
        <x:f t="shared" si="0"/>
        <x:v>7</x:v>
      </x:c>
      <x:c r="B8" s="13" t="s">
        <x:v>41</x:v>
      </x:c>
      <x:c r="C8" s="14" t="s">
        <x:v>42</x:v>
      </x:c>
      <x:c r="D8" s="14" t="s">
        <x:v>43</x:v>
      </x:c>
      <x:c r="E8" s="16" t="s">
        <x:v>44</x:v>
      </x:c>
      <x:c r="F8" s="14"/>
      <x:c r="G8" s="14"/>
      <x:c r="H8" s="14"/>
      <x:c r="I8" s="14"/>
      <x:c r="J8" s="14"/>
      <x:c r="K8" s="15"/>
      <x:c r="L8" s="15"/>
      <x:c r="M8" s="14"/>
    </x:row>
    <x:row r="9">
      <x:c r="A9" s="8">
        <x:f t="shared" si="0"/>
        <x:v>8</x:v>
      </x:c>
      <x:c r="B9" s="9" t="s">
        <x:v>45</x:v>
      </x:c>
      <x:c r="C9" s="10" t="s">
        <x:v>46</x:v>
      </x:c>
      <x:c r="D9" s="10" t="s">
        <x:v>47</x:v>
      </x:c>
      <x:c r="E9" s="17" t="s">
        <x:v>48</x:v>
      </x:c>
      <x:c r="F9" s="10"/>
      <x:c r="G9" s="10"/>
      <x:c r="H9" s="10" t="s">
        <x:v>49</x:v>
      </x:c>
      <x:c r="I9" s="10"/>
      <x:c r="J9" s="10"/>
      <x:c r="K9" s="11"/>
      <x:c r="L9" s="11"/>
      <x:c r="M9" s="10"/>
    </x:row>
    <x:row r="10">
      <x:c r="A10" s="12" t="str">
        <x:f t="shared" si="0"/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5"/>
      <x:c r="L10" s="15"/>
      <x:c r="M10" s="14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1"/>
      <x:c r="L11" s="11"/>
      <x:c r="M11" s="10"/>
    </x:row>
    <x:row r="12">
      <x:c r="A12" s="12" t="str">
        <x:f t="shared" si="0"/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5"/>
      <x:c r="L12" s="15"/>
      <x:c r="M12" s="14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1"/>
      <x:c r="L13" s="11"/>
      <x:c r="M13" s="10"/>
    </x:row>
    <x:row r="14">
      <x:c r="A14" s="12" t="str">
        <x:f t="shared" si="0"/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5"/>
      <x:c r="L14" s="15"/>
      <x:c r="M14" s="14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1"/>
      <x:c r="L15" s="11"/>
      <x:c r="M15" s="10"/>
    </x:row>
    <x:row r="16">
      <x:c r="A16" s="12" t="str">
        <x:f t="shared" si="0"/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5"/>
      <x:c r="L16" s="15"/>
      <x:c r="M16" s="14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1"/>
      <x:c r="L17" s="11"/>
      <x:c r="M17" s="10"/>
    </x:row>
    <x:row r="18">
      <x:c r="A18" s="12" t="str">
        <x:f t="shared" si="0"/>
      </x:c>
      <x:c r="B18" s="14"/>
      <x:c r="C18" s="14"/>
      <x:c r="D18" s="14"/>
      <x:c r="E18" s="14"/>
      <x:c r="F18" s="14"/>
      <x:c r="G18" s="14"/>
      <x:c r="H18" s="14"/>
      <x:c r="I18" s="14"/>
      <x:c r="J18" s="14"/>
      <x:c r="K18" s="15"/>
      <x:c r="L18" s="15"/>
      <x:c r="M18" s="14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1"/>
      <x:c r="L19" s="11"/>
      <x:c r="M19" s="10"/>
    </x:row>
    <x:row r="20">
      <x:c r="A20" s="12" t="str">
        <x:f t="shared" si="0"/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5"/>
      <x:c r="L20" s="15"/>
      <x:c r="M20" s="14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1"/>
      <x:c r="L21" s="11"/>
      <x:c r="M21" s="10"/>
    </x:row>
    <x:row r="22">
      <x:c r="A22" s="12" t="str">
        <x:f t="shared" si="0"/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5"/>
      <x:c r="L22" s="15"/>
      <x:c r="M22" s="14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1"/>
      <x:c r="L23" s="11"/>
      <x:c r="M23" s="10"/>
    </x:row>
    <x:row r="24">
      <x:c r="A24" s="12" t="str">
        <x:f t="shared" si="0"/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5"/>
      <x:c r="L24" s="15"/>
      <x:c r="M24" s="14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1"/>
      <x:c r="L25" s="11"/>
      <x:c r="M25" s="10"/>
    </x:row>
    <x:row r="26">
      <x:c r="A26" s="12" t="str">
        <x:f t="shared" si="0"/>
      </x:c>
      <x:c r="B26" s="14"/>
      <x:c r="C26" s="14"/>
      <x:c r="D26" s="14"/>
      <x:c r="E26" s="14"/>
      <x:c r="F26" s="14"/>
      <x:c r="G26" s="14"/>
      <x:c r="H26" s="14"/>
      <x:c r="I26" s="14"/>
      <x:c r="J26" s="14"/>
      <x:c r="K26" s="15"/>
      <x:c r="L26" s="15"/>
      <x:c r="M26" s="14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1"/>
      <x:c r="L27" s="11"/>
      <x:c r="M27" s="10"/>
    </x:row>
    <x:row r="28">
      <x:c r="A28" s="12" t="str">
        <x:f t="shared" si="0"/>
      </x:c>
      <x:c r="B28" s="14"/>
      <x:c r="C28" s="14"/>
      <x:c r="D28" s="14"/>
      <x:c r="E28" s="14"/>
      <x:c r="F28" s="14"/>
      <x:c r="G28" s="14"/>
      <x:c r="H28" s="14"/>
      <x:c r="I28" s="14"/>
      <x:c r="J28" s="14"/>
      <x:c r="K28" s="15"/>
      <x:c r="L28" s="15"/>
      <x:c r="M28" s="14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1"/>
      <x:c r="L29" s="11"/>
      <x:c r="M29" s="10"/>
    </x:row>
    <x:row r="30">
      <x:c r="A30" s="12" t="str">
        <x:f t="shared" si="0"/>
      </x:c>
      <x:c r="B30" s="14"/>
      <x:c r="C30" s="14"/>
      <x:c r="D30" s="14"/>
      <x:c r="E30" s="14"/>
      <x:c r="F30" s="14"/>
      <x:c r="G30" s="14"/>
      <x:c r="H30" s="14"/>
      <x:c r="I30" s="14"/>
      <x:c r="J30" s="14"/>
      <x:c r="K30" s="15"/>
      <x:c r="L30" s="15"/>
      <x:c r="M30" s="14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1"/>
      <x:c r="L31" s="11"/>
      <x:c r="M31" s="10"/>
    </x:row>
    <x:row r="32">
      <x:c r="A32" s="12" t="str">
        <x:f t="shared" si="0"/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5"/>
      <x:c r="L32" s="15"/>
      <x:c r="M32" s="14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1"/>
      <x:c r="L33" s="11"/>
      <x:c r="M33" s="10"/>
    </x:row>
    <x:row r="34">
      <x:c r="A34" s="12" t="str">
        <x:f t="shared" si="0"/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5"/>
      <x:c r="L34" s="15"/>
      <x:c r="M34" s="14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1"/>
      <x:c r="L35" s="11"/>
      <x:c r="M35" s="10"/>
    </x:row>
    <x:row r="36">
      <x:c r="A36" s="12" t="str">
        <x:f t="shared" si="0"/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5"/>
      <x:c r="L36" s="15"/>
      <x:c r="M36" s="14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1"/>
      <x:c r="L37" s="11"/>
      <x:c r="M37" s="10"/>
    </x:row>
    <x:row r="38">
      <x:c r="A38" s="12" t="str">
        <x:f t="shared" si="0"/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5"/>
      <x:c r="L38" s="15"/>
      <x:c r="M38" s="14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1"/>
      <x:c r="L39" s="11"/>
      <x:c r="M39" s="10"/>
    </x:row>
    <x:row r="40">
      <x:c r="A40" s="12" t="str">
        <x:f t="shared" si="0"/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5"/>
      <x:c r="L40" s="15"/>
      <x:c r="M40" s="14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1"/>
      <x:c r="L41" s="11"/>
      <x:c r="M41" s="10"/>
    </x:row>
    <x:row r="42">
      <x:c r="A42" s="12" t="str">
        <x:f t="shared" si="0"/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5"/>
      <x:c r="L42" s="15"/>
      <x:c r="M42" s="14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1"/>
      <x:c r="L43" s="11"/>
      <x:c r="M43" s="10"/>
    </x:row>
    <x:row r="44">
      <x:c r="A44" s="12" t="str">
        <x:f t="shared" si="0"/>
      </x:c>
      <x:c r="B44" s="14"/>
      <x:c r="C44" s="14"/>
      <x:c r="D44" s="14"/>
      <x:c r="E44" s="14"/>
      <x:c r="F44" s="14"/>
      <x:c r="G44" s="14"/>
      <x:c r="H44" s="14"/>
      <x:c r="I44" s="14"/>
      <x:c r="J44" s="14"/>
      <x:c r="K44" s="15"/>
      <x:c r="L44" s="15"/>
      <x:c r="M44" s="14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1"/>
      <x:c r="L45" s="11"/>
      <x:c r="M45" s="10"/>
    </x:row>
    <x:row r="46">
      <x:c r="A46" s="12" t="str">
        <x:f t="shared" si="0"/>
      </x:c>
      <x:c r="B46" s="14"/>
      <x:c r="C46" s="14"/>
      <x:c r="D46" s="14"/>
      <x:c r="E46" s="14"/>
      <x:c r="F46" s="14"/>
      <x:c r="G46" s="14"/>
      <x:c r="H46" s="14"/>
      <x:c r="I46" s="14"/>
      <x:c r="J46" s="14"/>
      <x:c r="K46" s="15"/>
      <x:c r="L46" s="15"/>
      <x:c r="M46" s="14"/>
    </x:row>
  </x:sheetData>
  <x:dataValidations count="1">
    <x:dataValidation type="list" allowBlank="1" error="Ro'yxatdan tanlang" prompt="Holatni tanlang" sqref="I2:I46">
      <x:formula1>HolatRoyxat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5"/>
  <x:cols>
    <x:col min="1" max="1" width="22" customWidth="1"/>
    <x:col min="2" max="2" width="12" customWidth="1"/>
  </x:cols>
  <x:sheetData>
    <x:row r="1">
      <x:c r="A1" s="1" t="s">
        <x:v>8</x:v>
      </x:c>
      <x:c r="B1" s="1" t="s">
        <x:v>50</x:v>
      </x:c>
    </x:row>
    <x:row r="2">
      <x:c r="A2" s="2" t="s">
        <x:v>51</x:v>
      </x:c>
      <x:c r="B2" s="3" t="n">
        <x:f>COUNTIF(Hamkorlar!$I:$I,A2)</x:f>
        <x:v>0</x:v>
      </x:c>
    </x:row>
    <x:row r="3">
      <x:c r="A3" s="2" t="s">
        <x:v>52</x:v>
      </x:c>
      <x:c r="B3" s="3" t="n">
        <x:f>COUNTIF(Hamkorlar!$I:$I,A3)</x:f>
        <x:v>0</x:v>
      </x:c>
    </x:row>
    <x:row r="4">
      <x:c r="A4" s="2" t="s">
        <x:v>53</x:v>
      </x:c>
      <x:c r="B4" s="3" t="n">
        <x:f>COUNTIF(Hamkorlar!$I:$I,A4)</x:f>
        <x:v>0</x:v>
      </x:c>
    </x:row>
    <x:row r="5">
      <x:c r="A5" s="2" t="s">
        <x:v>54</x:v>
      </x:c>
      <x:c r="B5" s="3" t="n">
        <x:f>COUNTIF(Hamkorlar!$I:$I,A5)</x:f>
        <x:v>1</x:v>
      </x:c>
    </x:row>
    <x:row r="6">
      <x:c r="A6" s="2" t="s">
        <x:v>20</x:v>
      </x:c>
      <x:c r="B6" s="3" t="n">
        <x:f>COUNTIF(Hamkorlar!$I:$I,A6)</x:f>
        <x:v>1</x:v>
      </x:c>
    </x:row>
    <x:row r="7">
      <x:c r="A7" s="2" t="s">
        <x:v>55</x:v>
      </x:c>
      <x:c r="B7" s="3" t="n">
        <x:f>COUNTIF(Hamkorlar!$I:$I,A7)</x:f>
        <x:v>0</x:v>
      </x:c>
    </x:row>
    <x:row r="8">
      <x:c r="A8" s="2" t="s">
        <x:v>56</x:v>
      </x:c>
      <x:c r="B8" s="3" t="n">
        <x:f>COUNTIF(Hamkorlar!$I:$I,A8)</x:f>
        <x:v>0</x:v>
      </x:c>
    </x:row>
    <x:row r="10">
      <x:c r="A10" s="4" t="s">
        <x:v>57</x:v>
      </x:c>
      <x:c r="B10" s="5" t="n">
        <x:f>COUNTA(Hamkorlar!$B$2:$B$1000)</x:f>
        <x:v>8</x:v>
      </x:c>
    </x:row>
    <x:row r="11">
      <x:c r="A11" s="4" t="s">
        <x:v>58</x:v>
      </x:c>
      <x:c r="B11" s="5" t="n">
        <x:f>SUM(Hamkorlar!$K$2:$K$1000)</x:f>
        <x:v>1</x:v>
      </x:c>
    </x:row>
    <x:row r="13">
      <x:c r="A13" s="6" t="s">
        <x:v>59</x:v>
      </x:c>
    </x:row>
  </x:sheetData>
  <x:pageMargins left="0.7" right="0.7" top="0.75" bottom="0.75" header="0.3" footer="0.3"/>
</x:worksheet>
</file>